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2992_murdoch_edu_au/Documents/Teaching/ECS200/ECS200 - Workshop/"/>
    </mc:Choice>
  </mc:AlternateContent>
  <xr:revisionPtr revIDLastSave="349" documentId="8_{0CED7BF2-0928-425F-BDD5-BD4447206A87}" xr6:coauthVersionLast="47" xr6:coauthVersionMax="47" xr10:uidLastSave="{5D91B777-1A51-4030-981A-8F0AF05C3338}"/>
  <bookViews>
    <workbookView xWindow="40650" yWindow="5340" windowWidth="28800" windowHeight="15370" xr2:uid="{23AE4A64-F60D-4C8F-AC24-459B2C695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6" i="1" l="1"/>
  <c r="W65" i="1"/>
  <c r="V66" i="1"/>
  <c r="V65" i="1"/>
  <c r="J87" i="1"/>
  <c r="K87" i="1"/>
  <c r="I87" i="1"/>
  <c r="R54" i="1"/>
  <c r="R55" i="1"/>
  <c r="R56" i="1"/>
  <c r="R57" i="1"/>
  <c r="R58" i="1"/>
  <c r="R53" i="1"/>
</calcChain>
</file>

<file path=xl/sharedStrings.xml><?xml version="1.0" encoding="utf-8"?>
<sst xmlns="http://schemas.openxmlformats.org/spreadsheetml/2006/main" count="250" uniqueCount="55">
  <si>
    <t>name</t>
  </si>
  <si>
    <t>col_1</t>
  </si>
  <si>
    <t>col_2</t>
  </si>
  <si>
    <t>species_1</t>
  </si>
  <si>
    <t>species_2</t>
  </si>
  <si>
    <t>1,2</t>
  </si>
  <si>
    <t>Species_2</t>
  </si>
  <si>
    <t>species_ı</t>
  </si>
  <si>
    <t>I = dottless I</t>
  </si>
  <si>
    <t>species 2</t>
  </si>
  <si>
    <t>Incorrect data types</t>
  </si>
  <si>
    <t>Inconsistent coding</t>
  </si>
  <si>
    <t>Header issue</t>
  </si>
  <si>
    <t>Encoding problem</t>
  </si>
  <si>
    <t>Trailing spaces</t>
  </si>
  <si>
    <t>Missing values (single)</t>
  </si>
  <si>
    <t>Missing values (entire row)</t>
  </si>
  <si>
    <t>Duplicate values (column)</t>
  </si>
  <si>
    <t>Duplicate values (entire row)</t>
  </si>
  <si>
    <t>NA</t>
  </si>
  <si>
    <t>Filter() numeric values</t>
  </si>
  <si>
    <t>Filter() by factor</t>
  </si>
  <si>
    <t>filter(data, name == "species_2")</t>
  </si>
  <si>
    <t>filter(data, col_1 &gt;=6)</t>
  </si>
  <si>
    <t>sp_1</t>
  </si>
  <si>
    <t>sp_2</t>
  </si>
  <si>
    <t>sp_3</t>
  </si>
  <si>
    <t>filter(data, name %in% c("sp_1", "sp_2"))</t>
  </si>
  <si>
    <t>Filter() by factor multiple</t>
  </si>
  <si>
    <t>arrange()</t>
  </si>
  <si>
    <t>desc()</t>
  </si>
  <si>
    <t>arrange(data, col_1)</t>
  </si>
  <si>
    <t>arrange(data, desc(col_1))</t>
  </si>
  <si>
    <t xml:space="preserve">select() </t>
  </si>
  <si>
    <t>select() multiple</t>
  </si>
  <si>
    <t>select() remove</t>
  </si>
  <si>
    <t>select(data, col_1)</t>
  </si>
  <si>
    <t>select(data, name, col_1)</t>
  </si>
  <si>
    <t>select(data, -col_1)</t>
  </si>
  <si>
    <t>mutate(data, col_sum = col_1 + col_2)</t>
  </si>
  <si>
    <t>col_sum</t>
  </si>
  <si>
    <t>mutate() to factor character columns</t>
  </si>
  <si>
    <t>name_2</t>
  </si>
  <si>
    <t>mutate(data, name_2  = as.factor(name))</t>
  </si>
  <si>
    <t>mutate() aggregating</t>
  </si>
  <si>
    <t>name = chr</t>
  </si>
  <si>
    <t>name_2 = fct</t>
  </si>
  <si>
    <t>mean</t>
  </si>
  <si>
    <t>n</t>
  </si>
  <si>
    <t>summarise() mean, spread, and count</t>
  </si>
  <si>
    <t>sd</t>
  </si>
  <si>
    <t>Output</t>
  </si>
  <si>
    <t>data %&gt;%</t>
  </si>
  <si>
    <t>group_by(name) %&gt;%</t>
  </si>
  <si>
    <t>summarise(mean = mean(col_1), sd = sd(col_1), n = n())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</si>
</sst>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C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1" xfId="0" applyFont="1" applyFill="1" applyBorder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3" borderId="2" xfId="0" applyFont="1" applyFill="1" applyBorder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3" borderId="0" xfId="0" applyFont="1" applyFill="1"/>
    <xf numFmtId="0" fontId="3" fillId="2" borderId="2" xfId="0" applyFont="1" applyFill="1" applyBorder="1"/>
    <xf numFmtId="0" fontId="5" fillId="3" borderId="2" xfId="0" applyFont="1" applyFill="1" applyBorder="1"/>
    <xf numFmtId="0" fontId="6" fillId="3" borderId="0" xfId="0" applyFont="1" applyFill="1"/>
    <xf numFmtId="0" fontId="6" fillId="3" borderId="1" xfId="0" applyFont="1" applyFill="1" applyBorder="1"/>
    <xf numFmtId="0" fontId="5" fillId="2" borderId="2" xfId="0" applyFont="1" applyFill="1" applyBorder="1"/>
    <xf numFmtId="0" fontId="6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7" fillId="3" borderId="0" xfId="0" applyFont="1" applyFill="1"/>
    <xf numFmtId="0" fontId="4" fillId="2" borderId="2" xfId="0" applyFont="1" applyFill="1" applyBorder="1"/>
    <xf numFmtId="0" fontId="7" fillId="0" borderId="0" xfId="0" applyFont="1"/>
    <xf numFmtId="0" fontId="0" fillId="4" borderId="0" xfId="0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4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C3CC"/>
      <color rgb="FFE82C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FA4E-1EEA-466E-A0C2-A2A2DCC5EA8B}">
  <dimension ref="A3:Y95"/>
  <sheetViews>
    <sheetView tabSelected="1" topLeftCell="A54" workbookViewId="0">
      <selection activeCell="V74" sqref="V74:X89"/>
    </sheetView>
  </sheetViews>
  <sheetFormatPr defaultRowHeight="14.5" x14ac:dyDescent="0.35"/>
  <cols>
    <col min="1" max="1" width="8.90625" bestFit="1" customWidth="1"/>
    <col min="4" max="4" width="2.6328125" customWidth="1"/>
    <col min="5" max="5" width="8.90625" bestFit="1" customWidth="1"/>
    <col min="8" max="8" width="2.6328125" customWidth="1"/>
    <col min="12" max="12" width="2.6328125" customWidth="1"/>
    <col min="13" max="13" width="5.26953125" customWidth="1"/>
    <col min="15" max="15" width="8.90625" bestFit="1" customWidth="1"/>
    <col min="19" max="19" width="2.6328125" customWidth="1"/>
    <col min="20" max="20" width="8.90625" bestFit="1" customWidth="1"/>
    <col min="25" max="25" width="2.6328125" customWidth="1"/>
  </cols>
  <sheetData>
    <row r="3" spans="1:25" x14ac:dyDescent="0.35">
      <c r="A3" s="5" t="s">
        <v>10</v>
      </c>
      <c r="B3" s="6"/>
      <c r="C3" s="6"/>
      <c r="D3" s="6"/>
      <c r="E3" s="5" t="s">
        <v>11</v>
      </c>
      <c r="F3" s="6"/>
      <c r="G3" s="6"/>
      <c r="H3" s="6"/>
      <c r="I3" s="5" t="s">
        <v>12</v>
      </c>
      <c r="J3" s="6"/>
      <c r="K3" s="6"/>
      <c r="L3" s="6"/>
      <c r="M3" s="6"/>
      <c r="O3" s="22"/>
      <c r="T3" s="22"/>
    </row>
    <row r="4" spans="1:25" s="1" customFormat="1" ht="6.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25" x14ac:dyDescent="0.35">
      <c r="A5" s="8" t="s">
        <v>0</v>
      </c>
      <c r="B5" s="8" t="s">
        <v>1</v>
      </c>
      <c r="C5" s="8" t="s">
        <v>2</v>
      </c>
      <c r="D5" s="9"/>
      <c r="E5" s="8" t="s">
        <v>0</v>
      </c>
      <c r="F5" s="8" t="s">
        <v>1</v>
      </c>
      <c r="G5" s="8" t="s">
        <v>2</v>
      </c>
      <c r="H5" s="9"/>
      <c r="I5" s="8" t="s">
        <v>0</v>
      </c>
      <c r="J5" s="8" t="s">
        <v>1</v>
      </c>
      <c r="K5" s="8" t="s">
        <v>2</v>
      </c>
      <c r="L5" s="9"/>
      <c r="M5" s="9"/>
      <c r="O5" s="23"/>
      <c r="P5" s="23"/>
      <c r="Q5" s="23"/>
      <c r="R5" s="23"/>
      <c r="S5" s="24"/>
      <c r="T5" s="23"/>
      <c r="U5" s="23"/>
      <c r="V5" s="23"/>
      <c r="W5" s="23"/>
      <c r="X5" s="23"/>
      <c r="Y5" s="24"/>
    </row>
    <row r="6" spans="1:25" x14ac:dyDescent="0.35">
      <c r="A6" s="9" t="s">
        <v>3</v>
      </c>
      <c r="B6" s="10">
        <v>8.9</v>
      </c>
      <c r="C6" s="9">
        <v>86</v>
      </c>
      <c r="D6" s="9"/>
      <c r="E6" s="9" t="s">
        <v>3</v>
      </c>
      <c r="F6" s="10">
        <v>8.9</v>
      </c>
      <c r="G6" s="9">
        <v>86</v>
      </c>
      <c r="H6" s="9"/>
      <c r="I6" s="9" t="s">
        <v>3</v>
      </c>
      <c r="J6" s="10">
        <v>8.9</v>
      </c>
      <c r="K6" s="9">
        <v>86</v>
      </c>
      <c r="L6" s="9"/>
      <c r="M6" s="9"/>
      <c r="O6" s="24"/>
      <c r="P6" s="25"/>
      <c r="Q6" s="25"/>
      <c r="R6" s="24"/>
      <c r="S6" s="24"/>
      <c r="T6" s="24"/>
      <c r="U6" s="25"/>
      <c r="V6" s="25"/>
      <c r="W6" s="25"/>
      <c r="X6" s="24"/>
      <c r="Y6" s="24"/>
    </row>
    <row r="7" spans="1:25" x14ac:dyDescent="0.35">
      <c r="A7" s="9" t="s">
        <v>4</v>
      </c>
      <c r="B7" s="10">
        <v>5.4</v>
      </c>
      <c r="C7" s="9">
        <v>74</v>
      </c>
      <c r="D7" s="9"/>
      <c r="E7" s="2" t="s">
        <v>6</v>
      </c>
      <c r="F7" s="10">
        <v>5.4</v>
      </c>
      <c r="G7" s="9">
        <v>74</v>
      </c>
      <c r="H7" s="9"/>
      <c r="I7" s="9" t="s">
        <v>4</v>
      </c>
      <c r="J7" s="10">
        <v>5.4</v>
      </c>
      <c r="K7" s="9">
        <v>74</v>
      </c>
      <c r="L7" s="9"/>
      <c r="M7" s="9"/>
      <c r="O7" s="24"/>
      <c r="P7" s="25"/>
      <c r="Q7" s="25"/>
      <c r="R7" s="24"/>
      <c r="S7" s="24"/>
      <c r="T7" s="24"/>
      <c r="U7" s="25"/>
      <c r="V7" s="25"/>
      <c r="W7" s="25"/>
      <c r="X7" s="24"/>
      <c r="Y7" s="24"/>
    </row>
    <row r="8" spans="1:25" x14ac:dyDescent="0.35">
      <c r="A8" s="9" t="s">
        <v>3</v>
      </c>
      <c r="B8" s="10">
        <v>7</v>
      </c>
      <c r="C8" s="9">
        <v>54</v>
      </c>
      <c r="D8" s="9"/>
      <c r="E8" s="9" t="s">
        <v>3</v>
      </c>
      <c r="F8" s="10">
        <v>7</v>
      </c>
      <c r="G8" s="9">
        <v>54</v>
      </c>
      <c r="H8" s="9"/>
      <c r="I8" s="9" t="s">
        <v>3</v>
      </c>
      <c r="J8" s="10">
        <v>7</v>
      </c>
      <c r="K8" s="9">
        <v>54</v>
      </c>
      <c r="L8" s="9"/>
      <c r="M8" s="9"/>
      <c r="O8" s="24"/>
      <c r="P8" s="25"/>
      <c r="Q8" s="25"/>
      <c r="R8" s="24"/>
      <c r="S8" s="24"/>
      <c r="T8" s="24"/>
      <c r="U8" s="25"/>
      <c r="V8" s="25"/>
      <c r="W8" s="25"/>
      <c r="X8" s="24"/>
      <c r="Y8" s="24"/>
    </row>
    <row r="9" spans="1:25" x14ac:dyDescent="0.35">
      <c r="A9" s="9" t="s">
        <v>4</v>
      </c>
      <c r="B9" s="3" t="s">
        <v>5</v>
      </c>
      <c r="C9" s="9">
        <v>75</v>
      </c>
      <c r="D9" s="9"/>
      <c r="E9" s="9" t="s">
        <v>4</v>
      </c>
      <c r="F9" s="10">
        <v>1.2</v>
      </c>
      <c r="G9" s="9">
        <v>75</v>
      </c>
      <c r="H9" s="9"/>
      <c r="I9" s="9" t="s">
        <v>4</v>
      </c>
      <c r="J9" s="10">
        <v>1.2</v>
      </c>
      <c r="K9" s="9">
        <v>75</v>
      </c>
      <c r="L9" s="9"/>
      <c r="M9" s="9"/>
      <c r="O9" s="24"/>
      <c r="P9" s="25"/>
      <c r="Q9" s="25"/>
      <c r="R9" s="24"/>
      <c r="S9" s="24"/>
      <c r="T9" s="24"/>
      <c r="U9" s="25"/>
      <c r="V9" s="25"/>
      <c r="W9" s="25"/>
      <c r="X9" s="24"/>
      <c r="Y9" s="24"/>
    </row>
    <row r="10" spans="1:25" x14ac:dyDescent="0.35">
      <c r="A10" s="9" t="s">
        <v>3</v>
      </c>
      <c r="B10" s="10">
        <v>6.3</v>
      </c>
      <c r="C10" s="9">
        <v>50</v>
      </c>
      <c r="D10" s="9"/>
      <c r="E10" s="9" t="s">
        <v>3</v>
      </c>
      <c r="F10" s="10">
        <v>6.3</v>
      </c>
      <c r="G10" s="9">
        <v>50</v>
      </c>
      <c r="H10" s="9"/>
      <c r="I10" s="9" t="s">
        <v>3</v>
      </c>
      <c r="J10" s="10">
        <v>6.3</v>
      </c>
      <c r="K10" s="9">
        <v>50</v>
      </c>
      <c r="L10" s="9"/>
      <c r="M10" s="9"/>
      <c r="O10" s="24"/>
      <c r="P10" s="25"/>
      <c r="Q10" s="25"/>
      <c r="R10" s="24"/>
      <c r="S10" s="24"/>
      <c r="T10" s="24"/>
      <c r="U10" s="25"/>
      <c r="V10" s="25"/>
      <c r="W10" s="25"/>
      <c r="X10" s="24"/>
      <c r="Y10" s="24"/>
    </row>
    <row r="11" spans="1:25" x14ac:dyDescent="0.35">
      <c r="A11" s="11" t="s">
        <v>4</v>
      </c>
      <c r="B11" s="12">
        <v>4.4000000000000004</v>
      </c>
      <c r="C11" s="11">
        <v>93</v>
      </c>
      <c r="D11" s="9"/>
      <c r="E11" s="11" t="s">
        <v>4</v>
      </c>
      <c r="F11" s="12">
        <v>4.4000000000000004</v>
      </c>
      <c r="G11" s="11">
        <v>93</v>
      </c>
      <c r="H11" s="9"/>
      <c r="I11" s="9" t="s">
        <v>4</v>
      </c>
      <c r="J11" s="10">
        <v>4.4000000000000004</v>
      </c>
      <c r="K11" s="9">
        <v>93</v>
      </c>
      <c r="L11" s="9"/>
      <c r="M11" s="9"/>
      <c r="O11" s="24"/>
      <c r="P11" s="25"/>
      <c r="Q11" s="25"/>
      <c r="R11" s="24"/>
      <c r="S11" s="24"/>
      <c r="T11" s="24"/>
      <c r="U11" s="25"/>
      <c r="V11" s="25"/>
      <c r="W11" s="25"/>
      <c r="X11" s="24"/>
      <c r="Y11" s="24"/>
    </row>
    <row r="12" spans="1:25" x14ac:dyDescent="0.35">
      <c r="A12" s="9"/>
      <c r="B12" s="9"/>
      <c r="C12" s="9"/>
      <c r="D12" s="9"/>
      <c r="E12" s="9"/>
      <c r="F12" s="9"/>
      <c r="G12" s="9"/>
      <c r="H12" s="9"/>
      <c r="I12" s="4"/>
      <c r="J12" s="4"/>
      <c r="K12" s="4"/>
      <c r="L12" s="9"/>
      <c r="M12" s="9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5.5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x14ac:dyDescent="0.35">
      <c r="A14" s="5" t="s">
        <v>13</v>
      </c>
      <c r="B14" s="6"/>
      <c r="C14" s="6"/>
      <c r="D14" s="6"/>
      <c r="E14" s="5" t="s">
        <v>14</v>
      </c>
      <c r="F14" s="6"/>
      <c r="G14" s="6"/>
      <c r="H14" s="6"/>
      <c r="I14" s="6"/>
      <c r="J14" s="6"/>
      <c r="K14" s="6"/>
      <c r="O14" s="22"/>
      <c r="T14" s="22"/>
    </row>
    <row r="15" spans="1:25" ht="5" customHeight="1" x14ac:dyDescent="0.35">
      <c r="A15" s="7"/>
      <c r="B15" s="7"/>
      <c r="C15" s="7"/>
      <c r="D15" s="7"/>
      <c r="E15" s="7"/>
      <c r="F15" s="7"/>
      <c r="G15" s="7"/>
      <c r="H15" s="6"/>
      <c r="I15" s="6"/>
      <c r="J15" s="6"/>
      <c r="K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8" t="s">
        <v>0</v>
      </c>
      <c r="B16" s="8" t="s">
        <v>1</v>
      </c>
      <c r="C16" s="8" t="s">
        <v>2</v>
      </c>
      <c r="D16" s="9"/>
      <c r="E16" s="8" t="s">
        <v>0</v>
      </c>
      <c r="F16" s="8" t="s">
        <v>1</v>
      </c>
      <c r="G16" s="8" t="s">
        <v>2</v>
      </c>
      <c r="H16" s="6"/>
      <c r="I16" s="6"/>
      <c r="J16" s="6"/>
      <c r="K16" s="6"/>
      <c r="O16" s="23"/>
      <c r="P16" s="23"/>
      <c r="Q16" s="23"/>
      <c r="R16" s="23"/>
      <c r="S16" s="24"/>
      <c r="T16" s="23"/>
      <c r="U16" s="23"/>
      <c r="V16" s="23"/>
      <c r="W16" s="23"/>
      <c r="X16" s="23"/>
      <c r="Y16" s="24"/>
    </row>
    <row r="17" spans="1:25" x14ac:dyDescent="0.35">
      <c r="A17" s="9" t="s">
        <v>3</v>
      </c>
      <c r="B17" s="10">
        <v>8.9</v>
      </c>
      <c r="C17" s="9">
        <v>86</v>
      </c>
      <c r="D17" s="9"/>
      <c r="E17" s="9" t="s">
        <v>3</v>
      </c>
      <c r="F17" s="10">
        <v>8.9</v>
      </c>
      <c r="G17" s="9">
        <v>86</v>
      </c>
      <c r="H17" s="6"/>
      <c r="I17" s="6"/>
      <c r="J17" s="6"/>
      <c r="K17" s="6"/>
      <c r="O17" s="24"/>
      <c r="P17" s="25"/>
      <c r="Q17" s="25"/>
      <c r="R17" s="24"/>
      <c r="S17" s="24"/>
      <c r="T17" s="24"/>
      <c r="U17" s="25"/>
      <c r="V17" s="25"/>
      <c r="W17" s="25"/>
      <c r="X17" s="24"/>
      <c r="Y17" s="24"/>
    </row>
    <row r="18" spans="1:25" x14ac:dyDescent="0.35">
      <c r="A18" s="9" t="s">
        <v>4</v>
      </c>
      <c r="B18" s="10">
        <v>5.4</v>
      </c>
      <c r="C18" s="9">
        <v>74</v>
      </c>
      <c r="D18" s="9"/>
      <c r="E18" s="9" t="s">
        <v>4</v>
      </c>
      <c r="F18" s="10">
        <v>5.4</v>
      </c>
      <c r="G18" s="9">
        <v>74</v>
      </c>
      <c r="H18" s="6"/>
      <c r="I18" s="6"/>
      <c r="J18" s="6"/>
      <c r="K18" s="6"/>
      <c r="O18" s="24"/>
      <c r="P18" s="25"/>
      <c r="Q18" s="25"/>
      <c r="R18" s="24"/>
      <c r="S18" s="24"/>
      <c r="T18" s="24"/>
      <c r="U18" s="25"/>
      <c r="V18" s="25"/>
      <c r="W18" s="25"/>
      <c r="X18" s="24"/>
      <c r="Y18" s="24"/>
    </row>
    <row r="19" spans="1:25" x14ac:dyDescent="0.35">
      <c r="A19" s="9" t="s">
        <v>3</v>
      </c>
      <c r="B19" s="10">
        <v>7</v>
      </c>
      <c r="C19" s="9">
        <v>54</v>
      </c>
      <c r="D19" s="9"/>
      <c r="E19" s="9" t="s">
        <v>3</v>
      </c>
      <c r="F19" s="10">
        <v>7</v>
      </c>
      <c r="G19" s="9">
        <v>54</v>
      </c>
      <c r="H19" s="6"/>
      <c r="I19" s="6"/>
      <c r="J19" s="6"/>
      <c r="K19" s="6"/>
      <c r="O19" s="24"/>
      <c r="P19" s="25"/>
      <c r="Q19" s="25"/>
      <c r="R19" s="24"/>
      <c r="S19" s="24"/>
      <c r="T19" s="24"/>
      <c r="U19" s="25"/>
      <c r="V19" s="25"/>
      <c r="W19" s="25"/>
      <c r="X19" s="24"/>
      <c r="Y19" s="24"/>
    </row>
    <row r="20" spans="1:25" x14ac:dyDescent="0.35">
      <c r="A20" s="9" t="s">
        <v>4</v>
      </c>
      <c r="B20" s="10">
        <v>1.2</v>
      </c>
      <c r="C20" s="9">
        <v>75</v>
      </c>
      <c r="D20" s="9"/>
      <c r="E20" s="2" t="s">
        <v>9</v>
      </c>
      <c r="F20" s="10">
        <v>1.2</v>
      </c>
      <c r="G20" s="9">
        <v>75</v>
      </c>
      <c r="H20" s="6"/>
      <c r="I20" s="6"/>
      <c r="J20" s="6"/>
      <c r="K20" s="6"/>
      <c r="O20" s="24"/>
      <c r="P20" s="25"/>
      <c r="Q20" s="25"/>
      <c r="R20" s="24"/>
      <c r="S20" s="24"/>
      <c r="T20" s="24"/>
      <c r="U20" s="25"/>
      <c r="V20" s="25"/>
      <c r="W20" s="25"/>
      <c r="X20" s="24"/>
      <c r="Y20" s="24"/>
    </row>
    <row r="21" spans="1:25" x14ac:dyDescent="0.35">
      <c r="A21" s="2" t="s">
        <v>7</v>
      </c>
      <c r="B21" s="10">
        <v>6.3</v>
      </c>
      <c r="C21" s="9">
        <v>50</v>
      </c>
      <c r="D21" s="9"/>
      <c r="E21" s="9" t="s">
        <v>3</v>
      </c>
      <c r="F21" s="10">
        <v>6.3</v>
      </c>
      <c r="G21" s="9">
        <v>50</v>
      </c>
      <c r="H21" s="6"/>
      <c r="I21" s="6"/>
      <c r="J21" s="6"/>
      <c r="K21" s="6"/>
      <c r="O21" s="24"/>
      <c r="P21" s="25"/>
      <c r="Q21" s="25"/>
      <c r="R21" s="24"/>
      <c r="S21" s="24"/>
      <c r="T21" s="24"/>
      <c r="U21" s="25"/>
      <c r="V21" s="25"/>
      <c r="W21" s="25"/>
      <c r="X21" s="24"/>
      <c r="Y21" s="24"/>
    </row>
    <row r="22" spans="1:25" x14ac:dyDescent="0.35">
      <c r="A22" s="11" t="s">
        <v>4</v>
      </c>
      <c r="B22" s="12">
        <v>4.4000000000000004</v>
      </c>
      <c r="C22" s="11">
        <v>93</v>
      </c>
      <c r="D22" s="9"/>
      <c r="E22" s="11" t="s">
        <v>4</v>
      </c>
      <c r="F22" s="12">
        <v>4.4000000000000004</v>
      </c>
      <c r="G22" s="11">
        <v>93</v>
      </c>
      <c r="H22" s="6"/>
      <c r="I22" s="6"/>
      <c r="J22" s="6"/>
      <c r="K22" s="6"/>
      <c r="O22" s="24"/>
      <c r="P22" s="25"/>
      <c r="Q22" s="25"/>
      <c r="R22" s="24"/>
      <c r="S22" s="24"/>
      <c r="T22" s="24"/>
      <c r="U22" s="25"/>
      <c r="V22" s="25"/>
      <c r="W22" s="25"/>
      <c r="X22" s="24"/>
      <c r="Y22" s="24"/>
    </row>
    <row r="23" spans="1:25" ht="7.5" customHeight="1" x14ac:dyDescent="0.35">
      <c r="A23" s="9"/>
      <c r="B23" s="9"/>
      <c r="C23" s="9"/>
      <c r="D23" s="9"/>
      <c r="E23" s="9"/>
      <c r="F23" s="9"/>
      <c r="G23" s="9"/>
      <c r="H23" s="6"/>
      <c r="I23" s="6"/>
      <c r="J23" s="6"/>
      <c r="K23" s="6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x14ac:dyDescent="0.35">
      <c r="A24" s="9" t="s">
        <v>8</v>
      </c>
      <c r="B24" s="9"/>
      <c r="C24" s="9"/>
      <c r="D24" s="9"/>
      <c r="E24" s="9"/>
      <c r="F24" s="9"/>
      <c r="G24" s="9"/>
      <c r="H24" s="6"/>
      <c r="I24" s="6"/>
      <c r="J24" s="6"/>
      <c r="K24" s="6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7" spans="1:25" x14ac:dyDescent="0.35">
      <c r="A27" s="5" t="s">
        <v>15</v>
      </c>
      <c r="B27" s="6"/>
      <c r="C27" s="6"/>
      <c r="D27" s="6"/>
      <c r="E27" s="5" t="s">
        <v>16</v>
      </c>
      <c r="F27" s="6"/>
      <c r="G27" s="6"/>
      <c r="H27" s="6"/>
      <c r="I27" s="6"/>
      <c r="J27" s="6"/>
      <c r="K27" s="6"/>
      <c r="O27" s="22"/>
      <c r="T27" s="22"/>
    </row>
    <row r="28" spans="1:25" x14ac:dyDescent="0.35">
      <c r="A28" s="7"/>
      <c r="B28" s="7"/>
      <c r="C28" s="7"/>
      <c r="D28" s="7"/>
      <c r="E28" s="7"/>
      <c r="F28" s="7"/>
      <c r="G28" s="7"/>
      <c r="H28" s="6"/>
      <c r="I28" s="6"/>
      <c r="J28" s="6"/>
      <c r="K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8" t="s">
        <v>0</v>
      </c>
      <c r="B29" s="8" t="s">
        <v>1</v>
      </c>
      <c r="C29" s="8" t="s">
        <v>2</v>
      </c>
      <c r="D29" s="6"/>
      <c r="E29" s="8" t="s">
        <v>0</v>
      </c>
      <c r="F29" s="8" t="s">
        <v>1</v>
      </c>
      <c r="G29" s="8" t="s">
        <v>2</v>
      </c>
      <c r="H29" s="6"/>
      <c r="I29" s="6"/>
      <c r="J29" s="6"/>
      <c r="K29" s="6"/>
      <c r="O29" s="23"/>
      <c r="P29" s="23"/>
      <c r="Q29" s="23"/>
      <c r="R29" s="23"/>
      <c r="T29" s="23"/>
      <c r="U29" s="23"/>
      <c r="V29" s="23"/>
      <c r="W29" s="23"/>
      <c r="X29" s="23"/>
    </row>
    <row r="30" spans="1:25" x14ac:dyDescent="0.35">
      <c r="A30" s="9" t="s">
        <v>3</v>
      </c>
      <c r="B30" s="10">
        <v>8.9</v>
      </c>
      <c r="C30" s="9">
        <v>86</v>
      </c>
      <c r="D30" s="6"/>
      <c r="E30" s="9" t="s">
        <v>3</v>
      </c>
      <c r="F30" s="10">
        <v>8.9</v>
      </c>
      <c r="G30" s="9">
        <v>86</v>
      </c>
      <c r="H30" s="6"/>
      <c r="I30" s="6"/>
      <c r="J30" s="6"/>
      <c r="K30" s="6"/>
      <c r="O30" s="24"/>
      <c r="P30" s="25"/>
      <c r="Q30" s="25"/>
      <c r="R30" s="24"/>
      <c r="T30" s="24"/>
      <c r="U30" s="25"/>
      <c r="V30" s="25"/>
      <c r="W30" s="25"/>
      <c r="X30" s="24"/>
    </row>
    <row r="31" spans="1:25" x14ac:dyDescent="0.35">
      <c r="A31" s="9" t="s">
        <v>4</v>
      </c>
      <c r="B31" s="10">
        <v>5.4</v>
      </c>
      <c r="C31" s="2"/>
      <c r="D31" s="6"/>
      <c r="E31" s="9" t="s">
        <v>4</v>
      </c>
      <c r="F31" s="10">
        <v>5.4</v>
      </c>
      <c r="G31" s="9">
        <v>74</v>
      </c>
      <c r="H31" s="6"/>
      <c r="I31" s="6"/>
      <c r="J31" s="6"/>
      <c r="K31" s="6"/>
      <c r="O31" s="24"/>
      <c r="P31" s="25"/>
      <c r="Q31" s="25"/>
      <c r="R31" s="24"/>
      <c r="T31" s="24"/>
      <c r="U31" s="25"/>
      <c r="V31" s="25"/>
      <c r="W31" s="25"/>
      <c r="X31" s="24"/>
    </row>
    <row r="32" spans="1:25" x14ac:dyDescent="0.35">
      <c r="A32" s="9" t="s">
        <v>3</v>
      </c>
      <c r="B32" s="10">
        <v>7</v>
      </c>
      <c r="C32" s="9">
        <v>54</v>
      </c>
      <c r="D32" s="6"/>
      <c r="E32" s="9" t="s">
        <v>3</v>
      </c>
      <c r="F32" s="10">
        <v>7</v>
      </c>
      <c r="G32" s="9">
        <v>54</v>
      </c>
      <c r="H32" s="6"/>
      <c r="I32" s="6"/>
      <c r="J32" s="6"/>
      <c r="K32" s="6"/>
      <c r="O32" s="24"/>
      <c r="P32" s="25"/>
      <c r="Q32" s="25"/>
      <c r="R32" s="24"/>
      <c r="T32" s="24"/>
      <c r="U32" s="25"/>
      <c r="V32" s="25"/>
      <c r="W32" s="25"/>
      <c r="X32" s="24"/>
    </row>
    <row r="33" spans="1:25" x14ac:dyDescent="0.35">
      <c r="A33" s="9" t="s">
        <v>4</v>
      </c>
      <c r="B33" s="3" t="s">
        <v>19</v>
      </c>
      <c r="C33" s="9">
        <v>75</v>
      </c>
      <c r="D33" s="9"/>
      <c r="E33" s="9" t="s">
        <v>4</v>
      </c>
      <c r="F33" s="10">
        <v>1.2</v>
      </c>
      <c r="G33" s="9">
        <v>75</v>
      </c>
      <c r="H33" s="6"/>
      <c r="I33" s="6"/>
      <c r="J33" s="6"/>
      <c r="K33" s="6"/>
      <c r="O33" s="24"/>
      <c r="P33" s="25"/>
      <c r="Q33" s="25"/>
      <c r="R33" s="24"/>
      <c r="S33" s="24"/>
      <c r="T33" s="24"/>
      <c r="U33" s="25"/>
      <c r="V33" s="25"/>
      <c r="W33" s="25"/>
      <c r="X33" s="24"/>
      <c r="Y33" s="24"/>
    </row>
    <row r="34" spans="1:25" x14ac:dyDescent="0.35">
      <c r="A34" s="9" t="s">
        <v>3</v>
      </c>
      <c r="B34" s="10">
        <v>6.3</v>
      </c>
      <c r="C34" s="9">
        <v>50</v>
      </c>
      <c r="D34" s="7"/>
      <c r="E34" s="9" t="s">
        <v>3</v>
      </c>
      <c r="F34" s="10">
        <v>6.3</v>
      </c>
      <c r="G34" s="9">
        <v>50</v>
      </c>
      <c r="H34" s="6"/>
      <c r="I34" s="6"/>
      <c r="J34" s="6"/>
      <c r="K34" s="6"/>
      <c r="O34" s="24"/>
      <c r="P34" s="25"/>
      <c r="Q34" s="25"/>
      <c r="R34" s="24"/>
      <c r="S34" s="1"/>
      <c r="T34" s="24"/>
      <c r="U34" s="25"/>
      <c r="V34" s="25"/>
      <c r="W34" s="25"/>
      <c r="X34" s="24"/>
      <c r="Y34" s="1"/>
    </row>
    <row r="35" spans="1:25" x14ac:dyDescent="0.35">
      <c r="A35" s="11" t="s">
        <v>4</v>
      </c>
      <c r="B35" s="12">
        <v>4.4000000000000004</v>
      </c>
      <c r="C35" s="11">
        <v>93</v>
      </c>
      <c r="D35" s="9"/>
      <c r="E35" s="11" t="s">
        <v>4</v>
      </c>
      <c r="F35" s="13"/>
      <c r="G35" s="4"/>
      <c r="H35" s="6"/>
      <c r="I35" s="6"/>
      <c r="J35" s="6"/>
      <c r="K35" s="6"/>
      <c r="O35" s="24"/>
      <c r="P35" s="25"/>
      <c r="Q35" s="25"/>
      <c r="R35" s="24"/>
      <c r="S35" s="24"/>
      <c r="T35" s="24"/>
      <c r="U35" s="25"/>
      <c r="V35" s="25"/>
      <c r="W35" s="25"/>
      <c r="X35" s="24"/>
      <c r="Y35" s="24"/>
    </row>
    <row r="38" spans="1:25" x14ac:dyDescent="0.35">
      <c r="A38" s="5" t="s">
        <v>17</v>
      </c>
      <c r="B38" s="6"/>
      <c r="C38" s="6"/>
      <c r="D38" s="6"/>
      <c r="E38" s="5" t="s">
        <v>18</v>
      </c>
      <c r="F38" s="6"/>
      <c r="G38" s="6"/>
      <c r="H38" s="6"/>
      <c r="I38" s="6"/>
      <c r="J38" s="6"/>
      <c r="K38" s="6"/>
      <c r="O38" s="22"/>
      <c r="T38" s="22"/>
    </row>
    <row r="39" spans="1:25" x14ac:dyDescent="0.35">
      <c r="A39" s="7"/>
      <c r="B39" s="7"/>
      <c r="C39" s="7"/>
      <c r="D39" s="7"/>
      <c r="E39" s="7"/>
      <c r="F39" s="7"/>
      <c r="G39" s="7"/>
      <c r="H39" s="6"/>
      <c r="I39" s="6"/>
      <c r="J39" s="6"/>
      <c r="K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5">
      <c r="A40" s="8" t="s">
        <v>0</v>
      </c>
      <c r="B40" s="8" t="s">
        <v>1</v>
      </c>
      <c r="C40" s="8" t="s">
        <v>2</v>
      </c>
      <c r="D40" s="6"/>
      <c r="E40" s="8" t="s">
        <v>0</v>
      </c>
      <c r="F40" s="8" t="s">
        <v>1</v>
      </c>
      <c r="G40" s="8" t="s">
        <v>2</v>
      </c>
      <c r="H40" s="6"/>
      <c r="I40" s="6"/>
      <c r="J40" s="6"/>
      <c r="K40" s="6"/>
      <c r="O40" s="23"/>
      <c r="P40" s="23"/>
      <c r="Q40" s="23"/>
      <c r="R40" s="23"/>
      <c r="T40" s="23"/>
      <c r="U40" s="23"/>
      <c r="V40" s="23"/>
      <c r="W40" s="23"/>
      <c r="X40" s="23"/>
    </row>
    <row r="41" spans="1:25" x14ac:dyDescent="0.35">
      <c r="A41" s="9" t="s">
        <v>3</v>
      </c>
      <c r="B41" s="10">
        <v>8.9</v>
      </c>
      <c r="C41" s="9">
        <v>86</v>
      </c>
      <c r="D41" s="6"/>
      <c r="E41" s="9" t="s">
        <v>3</v>
      </c>
      <c r="F41" s="10">
        <v>8.9</v>
      </c>
      <c r="G41" s="9">
        <v>86</v>
      </c>
      <c r="H41" s="6"/>
      <c r="I41" s="6"/>
      <c r="J41" s="6"/>
      <c r="K41" s="6"/>
      <c r="O41" s="24"/>
      <c r="P41" s="25"/>
      <c r="Q41" s="25"/>
      <c r="R41" s="24"/>
      <c r="T41" s="24"/>
      <c r="U41" s="25"/>
      <c r="V41" s="25"/>
      <c r="W41" s="25"/>
      <c r="X41" s="24"/>
    </row>
    <row r="42" spans="1:25" x14ac:dyDescent="0.35">
      <c r="A42" s="9" t="s">
        <v>4</v>
      </c>
      <c r="B42" s="3">
        <v>5.4</v>
      </c>
      <c r="C42" s="9">
        <v>74</v>
      </c>
      <c r="D42" s="6"/>
      <c r="E42" s="9" t="s">
        <v>4</v>
      </c>
      <c r="F42" s="10">
        <v>5.4</v>
      </c>
      <c r="G42" s="9">
        <v>74</v>
      </c>
      <c r="H42" s="6"/>
      <c r="I42" s="6"/>
      <c r="J42" s="6"/>
      <c r="K42" s="6"/>
      <c r="O42" s="24"/>
      <c r="P42" s="25"/>
      <c r="Q42" s="25"/>
      <c r="R42" s="24"/>
      <c r="T42" s="24"/>
      <c r="U42" s="25"/>
      <c r="V42" s="25"/>
      <c r="W42" s="25"/>
      <c r="X42" s="24"/>
    </row>
    <row r="43" spans="1:25" x14ac:dyDescent="0.35">
      <c r="A43" s="9" t="s">
        <v>3</v>
      </c>
      <c r="B43" s="10">
        <v>7</v>
      </c>
      <c r="C43" s="9">
        <v>54</v>
      </c>
      <c r="D43" s="6"/>
      <c r="E43" s="9" t="s">
        <v>3</v>
      </c>
      <c r="F43" s="10">
        <v>7</v>
      </c>
      <c r="G43" s="9">
        <v>54</v>
      </c>
      <c r="H43" s="6"/>
      <c r="I43" s="6"/>
      <c r="J43" s="6"/>
      <c r="K43" s="6"/>
      <c r="O43" s="24"/>
      <c r="P43" s="25"/>
      <c r="Q43" s="25"/>
      <c r="R43" s="24"/>
      <c r="T43" s="24"/>
      <c r="U43" s="25"/>
      <c r="V43" s="25"/>
      <c r="W43" s="25"/>
      <c r="X43" s="24"/>
    </row>
    <row r="44" spans="1:25" x14ac:dyDescent="0.35">
      <c r="A44" s="9" t="s">
        <v>4</v>
      </c>
      <c r="B44" s="3">
        <v>5.4</v>
      </c>
      <c r="C44" s="9">
        <v>75</v>
      </c>
      <c r="D44" s="9"/>
      <c r="E44" s="9" t="s">
        <v>4</v>
      </c>
      <c r="F44" s="10">
        <v>1.2</v>
      </c>
      <c r="G44" s="9">
        <v>75</v>
      </c>
      <c r="H44" s="6"/>
      <c r="I44" s="6"/>
      <c r="J44" s="6"/>
      <c r="K44" s="6"/>
      <c r="O44" s="24"/>
      <c r="P44" s="25"/>
      <c r="Q44" s="25"/>
      <c r="R44" s="24"/>
      <c r="S44" s="24"/>
      <c r="T44" s="24"/>
      <c r="U44" s="25"/>
      <c r="V44" s="25"/>
      <c r="W44" s="25"/>
      <c r="X44" s="24"/>
      <c r="Y44" s="24"/>
    </row>
    <row r="45" spans="1:25" x14ac:dyDescent="0.35">
      <c r="A45" s="9" t="s">
        <v>3</v>
      </c>
      <c r="B45" s="10">
        <v>6.3</v>
      </c>
      <c r="C45" s="9">
        <v>50</v>
      </c>
      <c r="D45" s="7"/>
      <c r="E45" s="9" t="s">
        <v>3</v>
      </c>
      <c r="F45" s="3">
        <v>6.3</v>
      </c>
      <c r="G45" s="2">
        <v>50</v>
      </c>
      <c r="H45" s="6"/>
      <c r="I45" s="6"/>
      <c r="J45" s="6"/>
      <c r="K45" s="6"/>
      <c r="O45" s="24"/>
      <c r="P45" s="25"/>
      <c r="Q45" s="25"/>
      <c r="R45" s="24"/>
      <c r="S45" s="1"/>
      <c r="T45" s="24"/>
      <c r="U45" s="25"/>
      <c r="V45" s="25"/>
      <c r="W45" s="25"/>
      <c r="X45" s="24"/>
      <c r="Y45" s="1"/>
    </row>
    <row r="46" spans="1:25" x14ac:dyDescent="0.35">
      <c r="A46" s="11" t="s">
        <v>4</v>
      </c>
      <c r="B46" s="12">
        <v>4.4000000000000004</v>
      </c>
      <c r="C46" s="11">
        <v>93</v>
      </c>
      <c r="D46" s="9"/>
      <c r="E46" s="11" t="s">
        <v>4</v>
      </c>
      <c r="F46" s="13">
        <v>6.3</v>
      </c>
      <c r="G46" s="4">
        <v>50</v>
      </c>
      <c r="H46" s="6"/>
      <c r="I46" s="6"/>
      <c r="J46" s="6"/>
      <c r="K46" s="6"/>
      <c r="O46" s="24"/>
      <c r="P46" s="25"/>
      <c r="Q46" s="25"/>
      <c r="R46" s="24"/>
      <c r="S46" s="24"/>
      <c r="T46" s="24"/>
      <c r="U46" s="25"/>
      <c r="V46" s="25"/>
      <c r="W46" s="25"/>
      <c r="X46" s="24"/>
      <c r="Y46" s="24"/>
    </row>
    <row r="50" spans="1:25" x14ac:dyDescent="0.35">
      <c r="A50" s="5" t="s">
        <v>20</v>
      </c>
      <c r="B50" s="6"/>
      <c r="C50" s="6"/>
      <c r="D50" s="6"/>
      <c r="E50" s="5" t="s">
        <v>21</v>
      </c>
      <c r="F50" s="6"/>
      <c r="G50" s="6"/>
      <c r="H50" s="6"/>
      <c r="I50" s="5" t="s">
        <v>28</v>
      </c>
      <c r="J50" s="6"/>
      <c r="K50" s="6"/>
      <c r="L50" s="6"/>
      <c r="M50" s="6"/>
      <c r="O50" s="5" t="s">
        <v>44</v>
      </c>
      <c r="P50" s="6"/>
      <c r="Q50" s="6"/>
      <c r="R50" s="6"/>
      <c r="S50" s="6"/>
      <c r="T50" s="5" t="s">
        <v>41</v>
      </c>
      <c r="U50" s="6"/>
      <c r="V50" s="6"/>
      <c r="W50" s="6"/>
      <c r="Y50" s="6"/>
    </row>
    <row r="51" spans="1:25" x14ac:dyDescent="0.35">
      <c r="A51" s="9" t="s">
        <v>23</v>
      </c>
      <c r="B51" s="7"/>
      <c r="C51" s="7"/>
      <c r="D51" s="7"/>
      <c r="E51" s="9" t="s">
        <v>22</v>
      </c>
      <c r="F51" s="7"/>
      <c r="G51" s="7"/>
      <c r="H51" s="7"/>
      <c r="I51" s="9" t="s">
        <v>27</v>
      </c>
      <c r="J51" s="7"/>
      <c r="K51" s="7"/>
      <c r="L51" s="7"/>
      <c r="M51" s="7"/>
      <c r="O51" s="9" t="s">
        <v>39</v>
      </c>
      <c r="P51" s="7"/>
      <c r="Q51" s="7"/>
      <c r="R51" s="7"/>
      <c r="S51" s="7"/>
      <c r="T51" s="9" t="s">
        <v>43</v>
      </c>
      <c r="U51" s="7"/>
      <c r="V51" s="7"/>
      <c r="W51" s="7"/>
      <c r="Y51" s="7"/>
    </row>
    <row r="52" spans="1:25" x14ac:dyDescent="0.35">
      <c r="A52" s="8" t="s">
        <v>0</v>
      </c>
      <c r="B52" s="8" t="s">
        <v>1</v>
      </c>
      <c r="C52" s="8" t="s">
        <v>2</v>
      </c>
      <c r="D52" s="9"/>
      <c r="E52" s="8" t="s">
        <v>0</v>
      </c>
      <c r="F52" s="8" t="s">
        <v>1</v>
      </c>
      <c r="G52" s="8" t="s">
        <v>2</v>
      </c>
      <c r="H52" s="9"/>
      <c r="I52" s="8" t="s">
        <v>0</v>
      </c>
      <c r="J52" s="8" t="s">
        <v>1</v>
      </c>
      <c r="K52" s="8" t="s">
        <v>2</v>
      </c>
      <c r="L52" s="9"/>
      <c r="M52" s="9"/>
      <c r="O52" s="8" t="s">
        <v>0</v>
      </c>
      <c r="P52" s="8" t="s">
        <v>1</v>
      </c>
      <c r="Q52" s="8" t="s">
        <v>2</v>
      </c>
      <c r="R52" s="15" t="s">
        <v>40</v>
      </c>
      <c r="S52" s="9"/>
      <c r="T52" s="8" t="s">
        <v>0</v>
      </c>
      <c r="U52" s="8" t="s">
        <v>1</v>
      </c>
      <c r="V52" s="8" t="s">
        <v>2</v>
      </c>
      <c r="W52" s="15" t="s">
        <v>42</v>
      </c>
      <c r="X52" s="29"/>
      <c r="Y52" s="30"/>
    </row>
    <row r="53" spans="1:25" x14ac:dyDescent="0.35">
      <c r="A53" s="9" t="s">
        <v>3</v>
      </c>
      <c r="B53" s="3">
        <v>8.9</v>
      </c>
      <c r="C53" s="9">
        <v>86</v>
      </c>
      <c r="D53" s="9"/>
      <c r="E53" s="9" t="s">
        <v>3</v>
      </c>
      <c r="F53" s="10">
        <v>8.9</v>
      </c>
      <c r="G53" s="9">
        <v>86</v>
      </c>
      <c r="H53" s="9"/>
      <c r="I53" s="9" t="s">
        <v>24</v>
      </c>
      <c r="J53" s="10">
        <v>8.9</v>
      </c>
      <c r="K53" s="9">
        <v>86</v>
      </c>
      <c r="L53" s="9"/>
      <c r="M53" s="9"/>
      <c r="O53" s="9" t="s">
        <v>3</v>
      </c>
      <c r="P53" s="10">
        <v>8.9</v>
      </c>
      <c r="Q53" s="9">
        <v>86</v>
      </c>
      <c r="R53" s="2">
        <f>P53+Q53</f>
        <v>94.9</v>
      </c>
      <c r="S53" s="9"/>
      <c r="T53" s="9" t="s">
        <v>3</v>
      </c>
      <c r="U53" s="10">
        <v>8.9</v>
      </c>
      <c r="V53" s="9">
        <v>86</v>
      </c>
      <c r="W53" s="2" t="s">
        <v>3</v>
      </c>
      <c r="X53" s="29"/>
      <c r="Y53" s="29"/>
    </row>
    <row r="54" spans="1:25" x14ac:dyDescent="0.35">
      <c r="A54" s="9" t="s">
        <v>4</v>
      </c>
      <c r="B54" s="10">
        <v>5.4</v>
      </c>
      <c r="C54" s="9">
        <v>74</v>
      </c>
      <c r="D54" s="9"/>
      <c r="E54" s="2" t="s">
        <v>4</v>
      </c>
      <c r="F54" s="10">
        <v>5.4</v>
      </c>
      <c r="G54" s="9">
        <v>74</v>
      </c>
      <c r="H54" s="9"/>
      <c r="I54" s="2" t="s">
        <v>25</v>
      </c>
      <c r="J54" s="10">
        <v>5.4</v>
      </c>
      <c r="K54" s="9">
        <v>74</v>
      </c>
      <c r="L54" s="9"/>
      <c r="M54" s="9"/>
      <c r="O54" s="9" t="s">
        <v>4</v>
      </c>
      <c r="P54" s="10">
        <v>5.4</v>
      </c>
      <c r="Q54" s="9">
        <v>74</v>
      </c>
      <c r="R54" s="2">
        <f t="shared" ref="R54:R58" si="0">P54+Q54</f>
        <v>79.400000000000006</v>
      </c>
      <c r="S54" s="9"/>
      <c r="T54" s="9" t="s">
        <v>4</v>
      </c>
      <c r="U54" s="10">
        <v>5.4</v>
      </c>
      <c r="V54" s="9">
        <v>74</v>
      </c>
      <c r="W54" s="2" t="s">
        <v>4</v>
      </c>
      <c r="X54" s="29"/>
      <c r="Y54" s="29"/>
    </row>
    <row r="55" spans="1:25" x14ac:dyDescent="0.35">
      <c r="A55" s="9" t="s">
        <v>3</v>
      </c>
      <c r="B55" s="3">
        <v>7</v>
      </c>
      <c r="C55" s="9">
        <v>54</v>
      </c>
      <c r="D55" s="9"/>
      <c r="E55" s="9" t="s">
        <v>3</v>
      </c>
      <c r="F55" s="10">
        <v>7</v>
      </c>
      <c r="G55" s="9">
        <v>54</v>
      </c>
      <c r="H55" s="9"/>
      <c r="I55" s="2" t="s">
        <v>26</v>
      </c>
      <c r="J55" s="10">
        <v>7</v>
      </c>
      <c r="K55" s="9">
        <v>54</v>
      </c>
      <c r="L55" s="9"/>
      <c r="M55" s="9"/>
      <c r="O55" s="9" t="s">
        <v>3</v>
      </c>
      <c r="P55" s="10">
        <v>7</v>
      </c>
      <c r="Q55" s="9">
        <v>54</v>
      </c>
      <c r="R55" s="2">
        <f t="shared" si="0"/>
        <v>61</v>
      </c>
      <c r="S55" s="9"/>
      <c r="T55" s="9" t="s">
        <v>3</v>
      </c>
      <c r="U55" s="10">
        <v>7</v>
      </c>
      <c r="V55" s="9">
        <v>54</v>
      </c>
      <c r="W55" s="2" t="s">
        <v>3</v>
      </c>
      <c r="X55" s="29"/>
      <c r="Y55" s="30"/>
    </row>
    <row r="56" spans="1:25" x14ac:dyDescent="0.35">
      <c r="A56" s="9" t="s">
        <v>4</v>
      </c>
      <c r="B56" s="10">
        <v>1.2</v>
      </c>
      <c r="C56" s="9">
        <v>75</v>
      </c>
      <c r="D56" s="9"/>
      <c r="E56" s="2" t="s">
        <v>4</v>
      </c>
      <c r="F56" s="10">
        <v>1.2</v>
      </c>
      <c r="G56" s="9">
        <v>75</v>
      </c>
      <c r="H56" s="9"/>
      <c r="I56" s="9" t="s">
        <v>24</v>
      </c>
      <c r="J56" s="10">
        <v>1.2</v>
      </c>
      <c r="K56" s="9">
        <v>75</v>
      </c>
      <c r="L56" s="9"/>
      <c r="M56" s="9"/>
      <c r="O56" s="9" t="s">
        <v>4</v>
      </c>
      <c r="P56" s="10">
        <v>1.2</v>
      </c>
      <c r="Q56" s="9">
        <v>75</v>
      </c>
      <c r="R56" s="2">
        <f t="shared" si="0"/>
        <v>76.2</v>
      </c>
      <c r="S56" s="9"/>
      <c r="T56" s="9" t="s">
        <v>4</v>
      </c>
      <c r="U56" s="10">
        <v>1.2</v>
      </c>
      <c r="V56" s="9">
        <v>75</v>
      </c>
      <c r="W56" s="2" t="s">
        <v>4</v>
      </c>
      <c r="X56" s="29"/>
      <c r="Y56" s="30"/>
    </row>
    <row r="57" spans="1:25" x14ac:dyDescent="0.35">
      <c r="A57" s="9" t="s">
        <v>3</v>
      </c>
      <c r="B57" s="3">
        <v>6.3</v>
      </c>
      <c r="C57" s="9">
        <v>50</v>
      </c>
      <c r="D57" s="9"/>
      <c r="E57" s="9" t="s">
        <v>3</v>
      </c>
      <c r="F57" s="10">
        <v>6.3</v>
      </c>
      <c r="G57" s="9">
        <v>50</v>
      </c>
      <c r="H57" s="9"/>
      <c r="I57" s="2" t="s">
        <v>25</v>
      </c>
      <c r="J57" s="10">
        <v>6.3</v>
      </c>
      <c r="K57" s="9">
        <v>50</v>
      </c>
      <c r="L57" s="9"/>
      <c r="M57" s="9"/>
      <c r="O57" s="9" t="s">
        <v>3</v>
      </c>
      <c r="P57" s="10">
        <v>6.3</v>
      </c>
      <c r="Q57" s="9">
        <v>50</v>
      </c>
      <c r="R57" s="2">
        <f t="shared" si="0"/>
        <v>56.3</v>
      </c>
      <c r="S57" s="9"/>
      <c r="T57" s="9" t="s">
        <v>3</v>
      </c>
      <c r="U57" s="10">
        <v>6.3</v>
      </c>
      <c r="V57" s="9">
        <v>50</v>
      </c>
      <c r="W57" s="2" t="s">
        <v>3</v>
      </c>
      <c r="X57" s="31" t="s">
        <v>45</v>
      </c>
      <c r="Y57" s="31"/>
    </row>
    <row r="58" spans="1:25" x14ac:dyDescent="0.35">
      <c r="A58" s="11" t="s">
        <v>4</v>
      </c>
      <c r="B58" s="13">
        <v>4.4000000000000004</v>
      </c>
      <c r="C58" s="11">
        <v>93</v>
      </c>
      <c r="D58" s="9"/>
      <c r="E58" s="4" t="s">
        <v>4</v>
      </c>
      <c r="F58" s="12">
        <v>4.4000000000000004</v>
      </c>
      <c r="G58" s="11">
        <v>93</v>
      </c>
      <c r="H58" s="9"/>
      <c r="I58" s="4" t="s">
        <v>26</v>
      </c>
      <c r="J58" s="12">
        <v>4.4000000000000004</v>
      </c>
      <c r="K58" s="11">
        <v>93</v>
      </c>
      <c r="L58" s="9"/>
      <c r="M58" s="9"/>
      <c r="O58" s="11" t="s">
        <v>4</v>
      </c>
      <c r="P58" s="12">
        <v>4.4000000000000004</v>
      </c>
      <c r="Q58" s="11">
        <v>93</v>
      </c>
      <c r="R58" s="4">
        <f t="shared" si="0"/>
        <v>97.4</v>
      </c>
      <c r="S58" s="9"/>
      <c r="T58" s="11" t="s">
        <v>4</v>
      </c>
      <c r="U58" s="12">
        <v>4.4000000000000004</v>
      </c>
      <c r="V58" s="11">
        <v>93</v>
      </c>
      <c r="W58" s="4" t="s">
        <v>4</v>
      </c>
      <c r="X58" s="31" t="s">
        <v>46</v>
      </c>
      <c r="Y58" s="31"/>
    </row>
    <row r="59" spans="1:25" x14ac:dyDescent="0.35">
      <c r="H59" s="9"/>
      <c r="I59" s="9"/>
      <c r="J59" s="9"/>
      <c r="K59" s="9"/>
      <c r="L59" s="9"/>
      <c r="M59" s="9"/>
    </row>
    <row r="60" spans="1:25" x14ac:dyDescent="0.35">
      <c r="A60" s="5" t="s">
        <v>29</v>
      </c>
      <c r="B60" s="6"/>
      <c r="C60" s="6"/>
      <c r="D60" s="6"/>
      <c r="E60" s="5" t="s">
        <v>30</v>
      </c>
      <c r="F60" s="6"/>
      <c r="G60" s="6"/>
      <c r="H60" s="6"/>
      <c r="I60" s="5"/>
      <c r="J60" s="6"/>
      <c r="K60" s="6"/>
      <c r="L60" s="6"/>
      <c r="O60" s="5" t="s">
        <v>49</v>
      </c>
      <c r="P60" s="6"/>
      <c r="Q60" s="6"/>
      <c r="R60" s="6"/>
      <c r="S60" s="5"/>
      <c r="T60" s="6"/>
      <c r="U60" s="5" t="s">
        <v>51</v>
      </c>
      <c r="V60" s="6"/>
      <c r="W60" s="6"/>
      <c r="X60" s="6"/>
      <c r="Y60" s="6"/>
    </row>
    <row r="61" spans="1:25" x14ac:dyDescent="0.35">
      <c r="A61" s="9" t="s">
        <v>31</v>
      </c>
      <c r="B61" s="7"/>
      <c r="C61" s="7"/>
      <c r="D61" s="7"/>
      <c r="E61" s="9" t="s">
        <v>32</v>
      </c>
      <c r="F61" s="7"/>
      <c r="G61" s="7"/>
      <c r="H61" s="7"/>
      <c r="I61" s="9"/>
      <c r="J61" s="7"/>
      <c r="K61" s="7"/>
      <c r="L61" s="7"/>
      <c r="O61" s="9" t="s">
        <v>52</v>
      </c>
      <c r="P61" s="26"/>
      <c r="Q61" s="26"/>
      <c r="R61" s="26"/>
      <c r="S61" s="9"/>
      <c r="T61" s="26"/>
      <c r="U61" s="9"/>
      <c r="V61" s="26"/>
      <c r="W61" s="26"/>
      <c r="X61" s="26"/>
      <c r="Y61" s="6"/>
    </row>
    <row r="62" spans="1:25" x14ac:dyDescent="0.35">
      <c r="A62" s="8" t="s">
        <v>0</v>
      </c>
      <c r="B62" s="8" t="s">
        <v>1</v>
      </c>
      <c r="C62" s="8" t="s">
        <v>2</v>
      </c>
      <c r="D62" s="9"/>
      <c r="E62" s="8" t="s">
        <v>0</v>
      </c>
      <c r="F62" s="8" t="s">
        <v>1</v>
      </c>
      <c r="G62" s="8" t="s">
        <v>2</v>
      </c>
      <c r="H62" s="9"/>
      <c r="I62" s="14"/>
      <c r="J62" s="14"/>
      <c r="K62" s="14"/>
      <c r="L62" s="9"/>
      <c r="O62" s="9" t="s">
        <v>53</v>
      </c>
      <c r="P62" s="26"/>
      <c r="Q62" s="26"/>
      <c r="R62" s="26"/>
      <c r="S62" s="9"/>
      <c r="T62" s="26"/>
      <c r="U62" s="9"/>
      <c r="V62" s="26"/>
      <c r="W62" s="26"/>
      <c r="X62" s="26"/>
      <c r="Y62" s="6"/>
    </row>
    <row r="63" spans="1:25" x14ac:dyDescent="0.35">
      <c r="A63" s="9" t="s">
        <v>3</v>
      </c>
      <c r="B63" s="3">
        <v>1.2</v>
      </c>
      <c r="C63" s="9">
        <v>86</v>
      </c>
      <c r="D63" s="9"/>
      <c r="E63" s="9" t="s">
        <v>4</v>
      </c>
      <c r="F63" s="3">
        <v>8.9</v>
      </c>
      <c r="G63" s="9">
        <v>75</v>
      </c>
      <c r="H63" s="9"/>
      <c r="I63" s="9"/>
      <c r="J63" s="10"/>
      <c r="K63" s="9"/>
      <c r="L63" s="9"/>
      <c r="O63" s="9" t="s">
        <v>54</v>
      </c>
      <c r="P63" s="7"/>
      <c r="Q63" s="7"/>
      <c r="R63" s="7"/>
      <c r="S63" s="9"/>
      <c r="T63" s="7"/>
      <c r="U63" s="9"/>
      <c r="V63" s="7"/>
      <c r="W63" s="7"/>
      <c r="X63" s="7"/>
      <c r="Y63" s="6"/>
    </row>
    <row r="64" spans="1:25" x14ac:dyDescent="0.35">
      <c r="A64" s="9" t="s">
        <v>3</v>
      </c>
      <c r="B64" s="3">
        <v>4.4000000000000004</v>
      </c>
      <c r="C64" s="9">
        <v>54</v>
      </c>
      <c r="D64" s="9"/>
      <c r="E64" s="9" t="s">
        <v>4</v>
      </c>
      <c r="F64" s="3">
        <v>7</v>
      </c>
      <c r="G64" s="9">
        <v>93</v>
      </c>
      <c r="H64" s="9"/>
      <c r="I64" s="9"/>
      <c r="J64" s="10"/>
      <c r="K64" s="9"/>
      <c r="L64" s="9"/>
      <c r="O64" s="8" t="s">
        <v>0</v>
      </c>
      <c r="P64" s="8" t="s">
        <v>1</v>
      </c>
      <c r="Q64" s="8" t="s">
        <v>2</v>
      </c>
      <c r="R64" s="9"/>
      <c r="S64" s="14"/>
      <c r="T64" s="14"/>
      <c r="U64" s="15" t="s">
        <v>0</v>
      </c>
      <c r="V64" s="15" t="s">
        <v>47</v>
      </c>
      <c r="W64" s="15" t="s">
        <v>50</v>
      </c>
      <c r="X64" s="15" t="s">
        <v>48</v>
      </c>
      <c r="Y64" s="6"/>
    </row>
    <row r="65" spans="1:25" x14ac:dyDescent="0.35">
      <c r="A65" s="9" t="s">
        <v>3</v>
      </c>
      <c r="B65" s="3">
        <v>5.4</v>
      </c>
      <c r="C65" s="9">
        <v>50</v>
      </c>
      <c r="D65" s="9"/>
      <c r="E65" s="9" t="s">
        <v>4</v>
      </c>
      <c r="F65" s="3">
        <v>6.3</v>
      </c>
      <c r="G65" s="9">
        <v>74</v>
      </c>
      <c r="H65" s="9"/>
      <c r="I65" s="9"/>
      <c r="J65" s="10"/>
      <c r="K65" s="9"/>
      <c r="L65" s="9"/>
      <c r="O65" s="9" t="s">
        <v>3</v>
      </c>
      <c r="P65" s="10">
        <v>8.9</v>
      </c>
      <c r="Q65" s="9">
        <v>86</v>
      </c>
      <c r="R65" s="9"/>
      <c r="S65" s="9"/>
      <c r="T65" s="10"/>
      <c r="U65" s="2" t="s">
        <v>3</v>
      </c>
      <c r="V65" s="2">
        <f>AVERAGE(P65,P67,P69)</f>
        <v>7.3999999999999995</v>
      </c>
      <c r="W65" s="2">
        <f>_xlfn.STDEV.P(P65,P67,P69)</f>
        <v>1.0984838035522757</v>
      </c>
      <c r="X65" s="2">
        <v>3</v>
      </c>
      <c r="Y65" s="6"/>
    </row>
    <row r="66" spans="1:25" x14ac:dyDescent="0.35">
      <c r="A66" s="9" t="s">
        <v>4</v>
      </c>
      <c r="B66" s="3">
        <v>6.3</v>
      </c>
      <c r="C66" s="9">
        <v>74</v>
      </c>
      <c r="D66" s="9"/>
      <c r="E66" s="9" t="s">
        <v>3</v>
      </c>
      <c r="F66" s="3">
        <v>5.4</v>
      </c>
      <c r="G66" s="9">
        <v>50</v>
      </c>
      <c r="H66" s="9"/>
      <c r="I66" s="9"/>
      <c r="J66" s="10"/>
      <c r="K66" s="9"/>
      <c r="L66" s="9"/>
      <c r="O66" s="9" t="s">
        <v>4</v>
      </c>
      <c r="P66" s="10">
        <v>5.4</v>
      </c>
      <c r="Q66" s="9">
        <v>74</v>
      </c>
      <c r="R66" s="9"/>
      <c r="S66" s="9"/>
      <c r="T66" s="10"/>
      <c r="U66" s="4" t="s">
        <v>4</v>
      </c>
      <c r="V66" s="4">
        <f>AVERAGE(P66,P68,P70)</f>
        <v>3.6666666666666665</v>
      </c>
      <c r="W66" s="4">
        <f>_xlfn.STDEV.P(P66,P68,P70)</f>
        <v>1.7913371790059212</v>
      </c>
      <c r="X66" s="4">
        <v>3</v>
      </c>
      <c r="Y66" s="10"/>
    </row>
    <row r="67" spans="1:25" x14ac:dyDescent="0.35">
      <c r="A67" s="9" t="s">
        <v>4</v>
      </c>
      <c r="B67" s="3">
        <v>7</v>
      </c>
      <c r="C67" s="9">
        <v>93</v>
      </c>
      <c r="D67" s="9"/>
      <c r="E67" s="9" t="s">
        <v>3</v>
      </c>
      <c r="F67" s="3">
        <v>4.4000000000000004</v>
      </c>
      <c r="G67" s="9">
        <v>54</v>
      </c>
      <c r="H67" s="9"/>
      <c r="I67" s="9"/>
      <c r="J67" s="10"/>
      <c r="K67" s="9"/>
      <c r="L67" s="9"/>
      <c r="O67" s="9" t="s">
        <v>3</v>
      </c>
      <c r="P67" s="10">
        <v>7</v>
      </c>
      <c r="Q67" s="9">
        <v>54</v>
      </c>
      <c r="R67" s="9"/>
      <c r="S67" s="9"/>
      <c r="T67" s="10"/>
      <c r="U67" s="9"/>
      <c r="V67" s="9"/>
      <c r="W67" s="9"/>
      <c r="X67" s="9"/>
      <c r="Y67" s="10"/>
    </row>
    <row r="68" spans="1:25" x14ac:dyDescent="0.35">
      <c r="A68" s="11" t="s">
        <v>4</v>
      </c>
      <c r="B68" s="13">
        <v>8.9</v>
      </c>
      <c r="C68" s="11">
        <v>75</v>
      </c>
      <c r="D68" s="9"/>
      <c r="E68" s="11" t="s">
        <v>3</v>
      </c>
      <c r="F68" s="13">
        <v>1.2</v>
      </c>
      <c r="G68" s="11">
        <v>86</v>
      </c>
      <c r="H68" s="9"/>
      <c r="I68" s="9"/>
      <c r="J68" s="10"/>
      <c r="K68" s="9"/>
      <c r="L68" s="9"/>
      <c r="O68" s="9" t="s">
        <v>4</v>
      </c>
      <c r="P68" s="10">
        <v>1.2</v>
      </c>
      <c r="Q68" s="9">
        <v>75</v>
      </c>
      <c r="R68" s="9"/>
      <c r="S68" s="9"/>
      <c r="T68" s="10"/>
      <c r="U68" s="9"/>
      <c r="V68" s="9"/>
      <c r="W68" s="9"/>
      <c r="X68" s="9"/>
      <c r="Y68" s="10"/>
    </row>
    <row r="69" spans="1:25" x14ac:dyDescent="0.35">
      <c r="O69" s="9" t="s">
        <v>3</v>
      </c>
      <c r="P69" s="10">
        <v>6.3</v>
      </c>
      <c r="Q69" s="9">
        <v>50</v>
      </c>
      <c r="R69" s="9"/>
      <c r="S69" s="9"/>
      <c r="T69" s="10"/>
      <c r="U69" s="9"/>
      <c r="V69" s="9"/>
      <c r="W69" s="9"/>
      <c r="X69" s="9"/>
      <c r="Y69" s="10"/>
    </row>
    <row r="70" spans="1:25" x14ac:dyDescent="0.35">
      <c r="O70" s="11" t="s">
        <v>4</v>
      </c>
      <c r="P70" s="12">
        <v>4.4000000000000004</v>
      </c>
      <c r="Q70" s="11">
        <v>93</v>
      </c>
      <c r="R70" s="9"/>
      <c r="S70" s="9"/>
      <c r="T70" s="10"/>
      <c r="U70" s="9"/>
      <c r="V70" s="9"/>
      <c r="W70" s="9"/>
      <c r="X70" s="9"/>
      <c r="Y70" s="10"/>
    </row>
    <row r="71" spans="1:25" x14ac:dyDescent="0.35">
      <c r="A71" s="5" t="s">
        <v>33</v>
      </c>
      <c r="B71" s="6"/>
      <c r="C71" s="6"/>
      <c r="D71" s="6"/>
      <c r="E71" s="5" t="s">
        <v>34</v>
      </c>
      <c r="F71" s="6"/>
      <c r="G71" s="6"/>
      <c r="H71" s="6"/>
      <c r="I71" s="5" t="s">
        <v>35</v>
      </c>
      <c r="J71" s="6"/>
      <c r="K71" s="6"/>
      <c r="L71" s="6"/>
      <c r="M71" s="6"/>
    </row>
    <row r="72" spans="1:25" x14ac:dyDescent="0.35">
      <c r="A72" s="9" t="s">
        <v>36</v>
      </c>
      <c r="B72" s="7"/>
      <c r="C72" s="7"/>
      <c r="D72" s="7"/>
      <c r="E72" s="9" t="s">
        <v>37</v>
      </c>
      <c r="F72" s="7"/>
      <c r="G72" s="7"/>
      <c r="H72" s="7"/>
      <c r="I72" s="9" t="s">
        <v>38</v>
      </c>
      <c r="J72" s="7"/>
      <c r="K72" s="7"/>
      <c r="L72" s="7"/>
      <c r="M72" s="7"/>
    </row>
    <row r="73" spans="1:25" x14ac:dyDescent="0.35">
      <c r="A73" s="16" t="s">
        <v>0</v>
      </c>
      <c r="B73" s="15" t="s">
        <v>1</v>
      </c>
      <c r="C73" s="16" t="s">
        <v>2</v>
      </c>
      <c r="D73" s="9"/>
      <c r="E73" s="15" t="s">
        <v>0</v>
      </c>
      <c r="F73" s="15" t="s">
        <v>1</v>
      </c>
      <c r="G73" s="16" t="s">
        <v>2</v>
      </c>
      <c r="H73" s="9"/>
      <c r="I73" s="8" t="s">
        <v>0</v>
      </c>
      <c r="J73" s="19" t="s">
        <v>1</v>
      </c>
      <c r="K73" s="8" t="s">
        <v>2</v>
      </c>
      <c r="L73" s="9"/>
      <c r="M73" s="9"/>
    </row>
    <row r="74" spans="1:25" x14ac:dyDescent="0.35">
      <c r="A74" s="17" t="s">
        <v>3</v>
      </c>
      <c r="B74" s="3">
        <v>8.9</v>
      </c>
      <c r="C74" s="17">
        <v>86</v>
      </c>
      <c r="D74" s="9"/>
      <c r="E74" s="2" t="s">
        <v>3</v>
      </c>
      <c r="F74" s="3">
        <v>8.9</v>
      </c>
      <c r="G74" s="17">
        <v>86</v>
      </c>
      <c r="H74" s="9"/>
      <c r="I74" s="9" t="s">
        <v>3</v>
      </c>
      <c r="J74" s="20">
        <v>8.9</v>
      </c>
      <c r="K74" s="9">
        <v>86</v>
      </c>
      <c r="L74" s="9"/>
      <c r="M74" s="9"/>
    </row>
    <row r="75" spans="1:25" x14ac:dyDescent="0.35">
      <c r="A75" s="17" t="s">
        <v>4</v>
      </c>
      <c r="B75" s="3">
        <v>5.4</v>
      </c>
      <c r="C75" s="17">
        <v>74</v>
      </c>
      <c r="D75" s="9"/>
      <c r="E75" s="2" t="s">
        <v>4</v>
      </c>
      <c r="F75" s="3">
        <v>5.4</v>
      </c>
      <c r="G75" s="17">
        <v>74</v>
      </c>
      <c r="H75" s="9"/>
      <c r="I75" s="9" t="s">
        <v>4</v>
      </c>
      <c r="J75" s="20">
        <v>5.4</v>
      </c>
      <c r="K75" s="9">
        <v>74</v>
      </c>
      <c r="L75" s="9"/>
      <c r="M75" s="9"/>
    </row>
    <row r="76" spans="1:25" x14ac:dyDescent="0.35">
      <c r="A76" s="17" t="s">
        <v>3</v>
      </c>
      <c r="B76" s="3">
        <v>7</v>
      </c>
      <c r="C76" s="17">
        <v>54</v>
      </c>
      <c r="D76" s="9"/>
      <c r="E76" s="2" t="s">
        <v>3</v>
      </c>
      <c r="F76" s="3">
        <v>7</v>
      </c>
      <c r="G76" s="17">
        <v>54</v>
      </c>
      <c r="H76" s="9"/>
      <c r="I76" s="9" t="s">
        <v>3</v>
      </c>
      <c r="J76" s="20">
        <v>7</v>
      </c>
      <c r="K76" s="9">
        <v>54</v>
      </c>
      <c r="L76" s="9"/>
      <c r="M76" s="9"/>
      <c r="V76" s="32"/>
    </row>
    <row r="77" spans="1:25" x14ac:dyDescent="0.35">
      <c r="A77" s="17" t="s">
        <v>4</v>
      </c>
      <c r="B77" s="3">
        <v>1.2</v>
      </c>
      <c r="C77" s="17">
        <v>75</v>
      </c>
      <c r="D77" s="9"/>
      <c r="E77" s="2" t="s">
        <v>4</v>
      </c>
      <c r="F77" s="3">
        <v>1.2</v>
      </c>
      <c r="G77" s="17">
        <v>75</v>
      </c>
      <c r="H77" s="9"/>
      <c r="I77" s="9" t="s">
        <v>4</v>
      </c>
      <c r="J77" s="20">
        <v>1.2</v>
      </c>
      <c r="K77" s="9">
        <v>75</v>
      </c>
      <c r="L77" s="9"/>
      <c r="M77" s="9"/>
      <c r="V77" s="32"/>
    </row>
    <row r="78" spans="1:25" x14ac:dyDescent="0.35">
      <c r="A78" s="17" t="s">
        <v>3</v>
      </c>
      <c r="B78" s="3">
        <v>6.3</v>
      </c>
      <c r="C78" s="17">
        <v>50</v>
      </c>
      <c r="D78" s="9"/>
      <c r="E78" s="2" t="s">
        <v>3</v>
      </c>
      <c r="F78" s="3">
        <v>6.3</v>
      </c>
      <c r="G78" s="17">
        <v>50</v>
      </c>
      <c r="H78" s="9"/>
      <c r="I78" s="9" t="s">
        <v>3</v>
      </c>
      <c r="J78" s="20">
        <v>6.3</v>
      </c>
      <c r="K78" s="9">
        <v>50</v>
      </c>
      <c r="L78" s="9"/>
      <c r="M78" s="9"/>
      <c r="V78" s="32"/>
    </row>
    <row r="79" spans="1:25" x14ac:dyDescent="0.35">
      <c r="A79" s="18" t="s">
        <v>4</v>
      </c>
      <c r="B79" s="13">
        <v>4.4000000000000004</v>
      </c>
      <c r="C79" s="18">
        <v>93</v>
      </c>
      <c r="D79" s="9"/>
      <c r="E79" s="4" t="s">
        <v>4</v>
      </c>
      <c r="F79" s="13">
        <v>4.4000000000000004</v>
      </c>
      <c r="G79" s="18">
        <v>93</v>
      </c>
      <c r="H79" s="9"/>
      <c r="I79" s="11" t="s">
        <v>4</v>
      </c>
      <c r="J79" s="21">
        <v>4.4000000000000004</v>
      </c>
      <c r="K79" s="11">
        <v>93</v>
      </c>
      <c r="L79" s="9"/>
      <c r="M79" s="9"/>
      <c r="V79" s="32"/>
    </row>
    <row r="80" spans="1:25" x14ac:dyDescent="0.35">
      <c r="V80" s="32"/>
    </row>
    <row r="81" spans="1:22" x14ac:dyDescent="0.35">
      <c r="V81" s="32"/>
    </row>
    <row r="82" spans="1:22" x14ac:dyDescent="0.35">
      <c r="A82" s="5" t="s">
        <v>49</v>
      </c>
      <c r="B82" s="6"/>
      <c r="C82" s="6"/>
      <c r="D82" s="6"/>
      <c r="E82" s="5"/>
      <c r="F82" s="6"/>
      <c r="G82" s="6"/>
      <c r="H82" s="6"/>
      <c r="I82" s="5" t="s">
        <v>51</v>
      </c>
      <c r="J82" s="6"/>
      <c r="K82" s="6"/>
      <c r="L82" s="6"/>
    </row>
    <row r="83" spans="1:22" s="28" customFormat="1" ht="13" x14ac:dyDescent="0.3">
      <c r="A83" s="9" t="s">
        <v>52</v>
      </c>
      <c r="B83" s="26"/>
      <c r="C83" s="26"/>
      <c r="D83" s="26"/>
      <c r="E83" s="9"/>
      <c r="F83" s="26"/>
      <c r="G83" s="26"/>
      <c r="H83" s="26"/>
      <c r="I83" s="9"/>
      <c r="J83" s="26"/>
      <c r="K83" s="26"/>
      <c r="L83" s="26"/>
    </row>
    <row r="84" spans="1:22" s="28" customFormat="1" ht="13" x14ac:dyDescent="0.3">
      <c r="A84" s="9" t="s">
        <v>53</v>
      </c>
      <c r="B84" s="26"/>
      <c r="C84" s="26"/>
      <c r="D84" s="26"/>
      <c r="E84" s="9"/>
      <c r="F84" s="26"/>
      <c r="G84" s="26"/>
      <c r="H84" s="26"/>
      <c r="I84" s="9"/>
      <c r="J84" s="26"/>
      <c r="K84" s="26"/>
      <c r="L84" s="26"/>
    </row>
    <row r="85" spans="1:22" x14ac:dyDescent="0.35">
      <c r="A85" s="9" t="s">
        <v>54</v>
      </c>
      <c r="B85" s="7"/>
      <c r="C85" s="7"/>
      <c r="D85" s="7"/>
      <c r="E85" s="9"/>
      <c r="F85" s="7"/>
      <c r="G85" s="7"/>
      <c r="H85" s="7"/>
      <c r="I85" s="9"/>
      <c r="J85" s="7"/>
      <c r="K85" s="7"/>
      <c r="L85" s="7"/>
    </row>
    <row r="86" spans="1:22" x14ac:dyDescent="0.35">
      <c r="A86" s="8" t="s">
        <v>0</v>
      </c>
      <c r="B86" s="8" t="s">
        <v>1</v>
      </c>
      <c r="C86" s="8" t="s">
        <v>2</v>
      </c>
      <c r="D86" s="9"/>
      <c r="E86" s="14"/>
      <c r="F86" s="14"/>
      <c r="G86" s="14"/>
      <c r="H86" s="9"/>
      <c r="I86" s="15" t="s">
        <v>47</v>
      </c>
      <c r="J86" s="15" t="s">
        <v>50</v>
      </c>
      <c r="K86" s="15" t="s">
        <v>48</v>
      </c>
      <c r="L86" s="9"/>
    </row>
    <row r="87" spans="1:22" x14ac:dyDescent="0.35">
      <c r="A87" s="9" t="s">
        <v>3</v>
      </c>
      <c r="B87" s="10">
        <v>8.9</v>
      </c>
      <c r="C87" s="9">
        <v>86</v>
      </c>
      <c r="D87" s="9"/>
      <c r="E87" s="9"/>
      <c r="F87" s="10"/>
      <c r="G87" s="9"/>
      <c r="H87" s="9"/>
      <c r="I87" s="27">
        <f>AVERAGE(B87:B92)</f>
        <v>5.5333333333333341</v>
      </c>
      <c r="J87" s="27">
        <f>_xlfn.STDEV.P(B87:B92)</f>
        <v>2.3858378449136515</v>
      </c>
      <c r="K87" s="27">
        <f>COUNT(B87:B92)</f>
        <v>6</v>
      </c>
      <c r="L87" s="9"/>
    </row>
    <row r="88" spans="1:22" x14ac:dyDescent="0.35">
      <c r="A88" s="9" t="s">
        <v>4</v>
      </c>
      <c r="B88" s="10">
        <v>5.4</v>
      </c>
      <c r="C88" s="9">
        <v>74</v>
      </c>
      <c r="D88" s="9"/>
      <c r="E88" s="9"/>
      <c r="F88" s="10"/>
      <c r="G88" s="9"/>
      <c r="H88" s="9"/>
      <c r="I88" s="9"/>
      <c r="J88" s="10"/>
      <c r="K88" s="9"/>
      <c r="L88" s="9"/>
    </row>
    <row r="89" spans="1:22" x14ac:dyDescent="0.35">
      <c r="A89" s="9" t="s">
        <v>3</v>
      </c>
      <c r="B89" s="10">
        <v>7</v>
      </c>
      <c r="C89" s="9">
        <v>54</v>
      </c>
      <c r="D89" s="9"/>
      <c r="E89" s="9"/>
      <c r="F89" s="10"/>
      <c r="G89" s="9"/>
      <c r="H89" s="9"/>
      <c r="I89" s="9"/>
      <c r="J89" s="10"/>
      <c r="K89" s="9"/>
      <c r="L89" s="9"/>
    </row>
    <row r="90" spans="1:22" x14ac:dyDescent="0.35">
      <c r="A90" s="9" t="s">
        <v>4</v>
      </c>
      <c r="B90" s="10">
        <v>1.2</v>
      </c>
      <c r="C90" s="9">
        <v>75</v>
      </c>
      <c r="D90" s="9"/>
      <c r="E90" s="9"/>
      <c r="F90" s="10"/>
      <c r="G90" s="9"/>
      <c r="H90" s="9"/>
      <c r="I90" s="9"/>
      <c r="J90" s="10"/>
      <c r="K90" s="9"/>
      <c r="L90" s="9"/>
    </row>
    <row r="91" spans="1:22" x14ac:dyDescent="0.35">
      <c r="A91" s="9" t="s">
        <v>3</v>
      </c>
      <c r="B91" s="10">
        <v>6.3</v>
      </c>
      <c r="C91" s="9">
        <v>50</v>
      </c>
      <c r="D91" s="9"/>
      <c r="E91" s="9"/>
      <c r="F91" s="10"/>
      <c r="G91" s="9"/>
      <c r="H91" s="9"/>
      <c r="I91" s="9"/>
      <c r="J91" s="10"/>
      <c r="K91" s="9"/>
      <c r="L91" s="9"/>
    </row>
    <row r="92" spans="1:22" x14ac:dyDescent="0.35">
      <c r="A92" s="11" t="s">
        <v>4</v>
      </c>
      <c r="B92" s="12">
        <v>4.4000000000000004</v>
      </c>
      <c r="C92" s="11">
        <v>93</v>
      </c>
      <c r="D92" s="9"/>
      <c r="E92" s="9"/>
      <c r="F92" s="10"/>
      <c r="G92" s="9"/>
      <c r="H92" s="9"/>
      <c r="I92" s="9"/>
      <c r="J92" s="10"/>
      <c r="K92" s="9"/>
      <c r="L92" s="9"/>
    </row>
    <row r="93" spans="1:22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22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22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</row>
  </sheetData>
  <pageMargins left="0.7" right="0.7" top="0.75" bottom="0.75" header="0.3" footer="0.3"/>
  <headerFooter>
    <oddFooter>&amp;L_x000D_&amp;1#&amp;"Calibri"&amp;11&amp;K008000 [OFFICIAL]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Murdoch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Wu</dc:creator>
  <cp:lastModifiedBy>Nicholas Wu</cp:lastModifiedBy>
  <dcterms:created xsi:type="dcterms:W3CDTF">2025-07-03T05:50:28Z</dcterms:created>
  <dcterms:modified xsi:type="dcterms:W3CDTF">2025-07-07T06:36:53Z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2025-07-03T06:02:22Z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2c01aece-2fc6-419f-8641-2178d50a64fe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